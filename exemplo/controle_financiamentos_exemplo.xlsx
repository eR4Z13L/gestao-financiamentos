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EQUIPAMENTOS" sheetId="2" state="visible" r:id="rId2"/>
    <sheet name="PROPOSTAS" sheetId="3" state="visible" r:id="rId3"/>
    <sheet name="VEND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 &quot;#,##0.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CADASTRO</t>
        </is>
      </c>
      <c r="B1" t="inlineStr">
        <is>
          <t>CPF/CNPJ</t>
        </is>
      </c>
      <c r="C1" t="inlineStr">
        <is>
          <t>VENDEDOR</t>
        </is>
      </c>
      <c r="D1" t="inlineStr">
        <is>
          <t>TIPO</t>
        </is>
      </c>
      <c r="E1" t="inlineStr">
        <is>
          <t>CLIENTE</t>
        </is>
      </c>
      <c r="F1" t="inlineStr">
        <is>
          <t>NASCIMENTO</t>
        </is>
      </c>
      <c r="G1" t="inlineStr">
        <is>
          <t>CELULAR</t>
        </is>
      </c>
      <c r="H1" t="inlineStr">
        <is>
          <t>CEP</t>
        </is>
      </c>
      <c r="I1" t="inlineStr">
        <is>
          <t>LOGRADOURO</t>
        </is>
      </c>
      <c r="J1" t="inlineStr">
        <is>
          <t>NÚMERO</t>
        </is>
      </c>
      <c r="K1" t="inlineStr">
        <is>
          <t>COMPLEMENTO</t>
        </is>
      </c>
      <c r="L1" t="inlineStr">
        <is>
          <t>BAIRRO</t>
        </is>
      </c>
      <c r="M1" t="inlineStr">
        <is>
          <t>CIDADE</t>
        </is>
      </c>
      <c r="N1" t="inlineStr">
        <is>
          <t>UF</t>
        </is>
      </c>
      <c r="O1" t="inlineStr">
        <is>
          <t>ENDEREÇO (REVISAR)</t>
        </is>
      </c>
      <c r="P1" t="inlineStr">
        <is>
          <t>VINCULADO</t>
        </is>
      </c>
      <c r="Q1" t="inlineStr">
        <is>
          <t>REDE SOCIAL</t>
        </is>
      </c>
      <c r="R1" t="inlineStr">
        <is>
          <t>EMAIL</t>
        </is>
      </c>
      <c r="S1" t="inlineStr">
        <is>
          <t>NOME DO PAI</t>
        </is>
      </c>
      <c r="T1" t="inlineStr">
        <is>
          <t>NOME DA MÃE</t>
        </is>
      </c>
      <c r="U1" t="inlineStr">
        <is>
          <t>PROFISSÃO</t>
        </is>
      </c>
    </row>
    <row r="2">
      <c r="A2" s="3" t="n">
        <v>46284</v>
      </c>
      <c r="B2" t="inlineStr">
        <is>
          <t>529.982.247-25</t>
        </is>
      </c>
      <c r="C2" t="inlineStr">
        <is>
          <t>Vendedor Exemplo</t>
        </is>
      </c>
      <c r="D2" t="inlineStr">
        <is>
          <t>Cliente</t>
        </is>
      </c>
      <c r="E2" t="inlineStr">
        <is>
          <t>MARIA EXEMPLO DA SILVA</t>
        </is>
      </c>
      <c r="F2" s="3" t="n">
        <v>31121</v>
      </c>
      <c r="G2" t="inlineStr">
        <is>
          <t>(11) 91234-5678</t>
        </is>
      </c>
      <c r="H2" s="2" t="inlineStr">
        <is>
          <t>01001-000</t>
        </is>
      </c>
      <c r="I2" t="inlineStr">
        <is>
          <t>Rua Fictícia</t>
        </is>
      </c>
      <c r="J2" s="2" t="inlineStr">
        <is>
          <t>123</t>
        </is>
      </c>
      <c r="K2" t="inlineStr">
        <is>
          <t>apto 45</t>
        </is>
      </c>
      <c r="L2" t="inlineStr">
        <is>
          <t>Bairro Exemplo</t>
        </is>
      </c>
      <c r="M2" t="inlineStr">
        <is>
          <t>Cidade Exemplo</t>
        </is>
      </c>
      <c r="N2" t="inlineStr">
        <is>
          <t>SP</t>
        </is>
      </c>
      <c r="Q2" t="inlineStr">
        <is>
          <t>@maria.exemplo</t>
        </is>
      </c>
      <c r="R2" t="inlineStr">
        <is>
          <t>maria.exemplo@email.com</t>
        </is>
      </c>
      <c r="S2" t="inlineStr">
        <is>
          <t>Pai Exemplo da Silva</t>
        </is>
      </c>
      <c r="T2" t="inlineStr">
        <is>
          <t>Mãe Exemplo da Silva</t>
        </is>
      </c>
      <c r="U2" t="inlineStr">
        <is>
          <t>Profissão Exemplo</t>
        </is>
      </c>
    </row>
    <row r="3">
      <c r="A3" s="3" t="n">
        <v>46284</v>
      </c>
      <c r="B3" t="inlineStr">
        <is>
          <t>111.444.777-35</t>
        </is>
      </c>
      <c r="C3" t="inlineStr">
        <is>
          <t>Vendedor Exemplo</t>
        </is>
      </c>
      <c r="D3" t="inlineStr">
        <is>
          <t>Cliente</t>
        </is>
      </c>
      <c r="E3" t="inlineStr">
        <is>
          <t>JOÃO EXEMPLO SOUZA</t>
        </is>
      </c>
      <c r="F3" s="3" t="n"/>
      <c r="G3" t="inlineStr">
        <is>
          <t>(21) 98888-7777</t>
        </is>
      </c>
      <c r="H3" s="2" t="inlineStr">
        <is>
          <t>20000-000</t>
        </is>
      </c>
      <c r="I3" t="inlineStr">
        <is>
          <t>Avenida Modelo</t>
        </is>
      </c>
      <c r="J3" s="2" t="inlineStr">
        <is>
          <t>456</t>
        </is>
      </c>
      <c r="L3" t="inlineStr">
        <is>
          <t>Bairro Teste</t>
        </is>
      </c>
      <c r="M3" t="inlineStr">
        <is>
          <t>Cidade Teste</t>
        </is>
      </c>
      <c r="N3" t="inlineStr">
        <is>
          <t>RJ</t>
        </is>
      </c>
      <c r="R3" t="inlineStr">
        <is>
          <t>joao.exemplo@email.com</t>
        </is>
      </c>
    </row>
    <row r="4">
      <c r="A4" s="3" t="n">
        <v>46284</v>
      </c>
      <c r="B4" t="inlineStr">
        <is>
          <t>390.533.447-05</t>
        </is>
      </c>
      <c r="C4" t="inlineStr">
        <is>
          <t>Vendedor Exemplo</t>
        </is>
      </c>
      <c r="D4" t="inlineStr">
        <is>
          <t>Avalista</t>
        </is>
      </c>
      <c r="E4" t="inlineStr">
        <is>
          <t>ANA EXEMPLO COSTA</t>
        </is>
      </c>
      <c r="F4" s="3" t="n"/>
      <c r="G4" t="inlineStr">
        <is>
          <t>(31) 97777-6666</t>
        </is>
      </c>
      <c r="H4" s="2" t="n"/>
      <c r="J4" s="2" t="n"/>
      <c r="O4" t="inlineStr">
        <is>
          <t>Praça Amostra, 789 apto 12 - Bairro Fake - Cidade/UF</t>
        </is>
      </c>
      <c r="P4" t="inlineStr">
        <is>
          <t>Maria Exemplo da Silva</t>
        </is>
      </c>
      <c r="R4" t="inlineStr">
        <is>
          <t>ana.exemplo@email.com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EQUIPAMENTO</t>
        </is>
      </c>
      <c r="C1" t="inlineStr">
        <is>
          <t>PARCELAS</t>
        </is>
      </c>
      <c r="D1" t="inlineStr">
        <is>
          <t>VALOR PARCELA (R$)</t>
        </is>
      </c>
      <c r="E1" t="inlineStr">
        <is>
          <t>VALOR LÍQUIDO/REFERÊNCIA (R$)</t>
        </is>
      </c>
      <c r="F1" t="inlineStr">
        <is>
          <t>OBSERVAÇÕES</t>
        </is>
      </c>
    </row>
    <row r="2">
      <c r="A2" t="inlineStr">
        <is>
          <t>Fornecedor Exemplo A</t>
        </is>
      </c>
      <c r="B2" t="inlineStr">
        <is>
          <t>Equipamento Modelo X</t>
        </is>
      </c>
      <c r="C2" t="n">
        <v>36</v>
      </c>
      <c r="D2" s="4" t="n">
        <v>2500</v>
      </c>
      <c r="E2" s="4" t="n">
        <v>65000</v>
      </c>
      <c r="F2" t="inlineStr">
        <is>
          <t>Valor mínimo de faturamento: R$ 65.000,00 (dado fictício)</t>
        </is>
      </c>
    </row>
    <row r="3">
      <c r="A3" t="inlineStr">
        <is>
          <t>Fornecedor Exemplo B</t>
        </is>
      </c>
      <c r="B3" t="inlineStr">
        <is>
          <t>Equipamento Modelo Y</t>
        </is>
      </c>
      <c r="C3" t="n">
        <v>24</v>
      </c>
      <c r="D3" s="4" t="n">
        <v>1800</v>
      </c>
      <c r="E3" s="4" t="n">
        <v>35000</v>
      </c>
      <c r="F3" t="inlineStr">
        <is>
          <t>Dado fictício, só de referência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VENDEDOR</t>
        </is>
      </c>
      <c r="C1" t="inlineStr">
        <is>
          <t>CPF</t>
        </is>
      </c>
      <c r="D1" t="inlineStr">
        <is>
          <t>CLIENTE</t>
        </is>
      </c>
      <c r="E1" t="inlineStr">
        <is>
          <t>VALOR (R$)</t>
        </is>
      </c>
      <c r="F1" t="inlineStr">
        <is>
          <t>MESES</t>
        </is>
      </c>
      <c r="G1" t="inlineStr">
        <is>
          <t>EQUIPAMENTO</t>
        </is>
      </c>
      <c r="H1" t="inlineStr">
        <is>
          <t>BANCO</t>
        </is>
      </c>
      <c r="I1" t="inlineStr">
        <is>
          <t>TEMPO</t>
        </is>
      </c>
      <c r="J1" t="inlineStr">
        <is>
          <t>STATUS</t>
        </is>
      </c>
      <c r="K1" t="inlineStr">
        <is>
          <t>OBSERVAÇÕES</t>
        </is>
      </c>
    </row>
    <row r="2">
      <c r="A2" s="3" t="n">
        <v>46284</v>
      </c>
      <c r="B2">
        <f>IFERROR(VLOOKUP(C2,CLIENTES!$B:$C,2,FALSE()),"")</f>
        <v/>
      </c>
      <c r="C2" t="inlineStr">
        <is>
          <t>529.982.247-25</t>
        </is>
      </c>
      <c r="D2">
        <f>IFERROR(VLOOKUP(C2,CLIENTES!$B:$E,4,FALSE()),"")</f>
        <v/>
      </c>
      <c r="E2" s="4" t="n">
        <v>65000</v>
      </c>
      <c r="F2" t="n">
        <v>36</v>
      </c>
      <c r="G2" t="inlineStr">
        <is>
          <t>Equipamento Modelo X</t>
        </is>
      </c>
      <c r="H2" t="inlineStr">
        <is>
          <t>Banco Exemplo</t>
        </is>
      </c>
      <c r="I2">
        <f>IF(A2="","",IF(OR(UPPER(J2)="APROVADO",UPPER(J2)="CANCELADA",UPPER(J2)="CANCELADO",UPPER(J2)="NEGADA",UPPER(J2)="NEGADO",UPPER(J2)="REPROVADA",UPPER(J2)="REPROVADO"),"Encerrado",TODAY()-A2&amp;" dias"))</f>
        <v/>
      </c>
      <c r="J2" t="inlineStr">
        <is>
          <t>Aprovado</t>
        </is>
      </c>
      <c r="K2" t="inlineStr">
        <is>
          <t>Proposta fictícia de exemplo</t>
        </is>
      </c>
    </row>
    <row r="3">
      <c r="A3" s="3" t="n">
        <v>46284</v>
      </c>
      <c r="B3">
        <f>IFERROR(VLOOKUP(C3,CLIENTES!$B:$C,2,FALSE()),"")</f>
        <v/>
      </c>
      <c r="C3" t="inlineStr">
        <is>
          <t>111.444.777-35</t>
        </is>
      </c>
      <c r="D3">
        <f>IFERROR(VLOOKUP(C3,CLIENTES!$B:$E,4,FALSE()),"")</f>
        <v/>
      </c>
      <c r="E3" s="4" t="n">
        <v>35000</v>
      </c>
      <c r="F3" t="n">
        <v>24</v>
      </c>
      <c r="G3" t="inlineStr">
        <is>
          <t>Equipamento Modelo Y</t>
        </is>
      </c>
      <c r="H3" t="inlineStr">
        <is>
          <t>Outro Banco Exemplo</t>
        </is>
      </c>
      <c r="I3">
        <f>IF(A3="","",IF(OR(UPPER(J3)="APROVADO",UPPER(J3)="CANCELADA",UPPER(J3)="CANCELADO",UPPER(J3)="NEGADA",UPPER(J3)="NEGADO",UPPER(J3)="REPROVADA",UPPER(J3)="REPROVADO"),"Encerrado",TODAY()-A3&amp;" dias"))</f>
        <v/>
      </c>
      <c r="J3" t="inlineStr">
        <is>
          <t>Em Análise</t>
        </is>
      </c>
      <c r="K3" t="inlineStr"/>
    </row>
    <row r="4">
      <c r="A4" s="3" t="n">
        <v>46284</v>
      </c>
      <c r="B4">
        <f>IFERROR(VLOOKUP(C4,CLIENTES!$B:$C,2,FALSE()),"")</f>
        <v/>
      </c>
      <c r="C4" t="inlineStr">
        <is>
          <t>111.444.777-35</t>
        </is>
      </c>
      <c r="D4">
        <f>IFERROR(VLOOKUP(C4,CLIENTES!$B:$E,4,FALSE()),"")</f>
        <v/>
      </c>
      <c r="E4" s="4" t="n">
        <v>40000</v>
      </c>
      <c r="F4" t="n">
        <v>36</v>
      </c>
      <c r="G4" t="inlineStr">
        <is>
          <t>Equipamento Modelo X</t>
        </is>
      </c>
      <c r="H4" t="inlineStr">
        <is>
          <t>Banco Exemplo</t>
        </is>
      </c>
      <c r="I4">
        <f>IF(A4="","",IF(OR(UPPER(J4)="APROVADO",UPPER(J4)="CANCELADA",UPPER(J4)="CANCELADO",UPPER(J4)="NEGADA",UPPER(J4)="NEGADO",UPPER(J4)="REPROVADA",UPPER(J4)="REPROVADO"),"Encerrado",TODAY()-A4&amp;" dias"))</f>
        <v/>
      </c>
      <c r="J4" t="inlineStr">
        <is>
          <t>Negado</t>
        </is>
      </c>
      <c r="K4" t="inlineStr">
        <is>
          <t>Negado na pré-análise (exemplo)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SENHA_HASH</t>
        </is>
      </c>
      <c r="C1" t="inlineStr">
        <is>
          <t>SALT</t>
        </is>
      </c>
    </row>
    <row r="2">
      <c r="A2" t="inlineStr">
        <is>
          <t>Vendedor Exemplo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2026-09-19T07:37:15Z</dcterms:created>
  <dcterms:modified xsi:type="dcterms:W3CDTF">2026-09-19T07:37:16Z</dcterms:modified>
</cp:coreProperties>
</file>